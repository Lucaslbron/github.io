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<sst xmlns="http://schemas.openxmlformats.org/spreadsheetml/2006/main" count="55" uniqueCount="44">
  <si>
    <t>Vendor Name - Group orders by vendor</t>
  </si>
  <si>
    <t>Item Description</t>
  </si>
  <si>
    <t>Qty Needed</t>
  </si>
  <si>
    <t>Price each</t>
  </si>
  <si>
    <t>Total Cost</t>
  </si>
  <si>
    <t>Website Hyperlink</t>
  </si>
  <si>
    <t>Lowes</t>
  </si>
  <si>
    <t>2x4x8 Kiln-dried Stud Whitewood</t>
  </si>
  <si>
    <r>
      <rPr>
        <rFont val="&quot;Aptos Narrow&quot;, sans-serif"/>
        <color rgb="FF1155CC"/>
        <sz val="11.0"/>
        <u/>
      </rPr>
      <t>2x4x8</t>
    </r>
  </si>
  <si>
    <t>2x4x12 Southern Yellow Pine</t>
  </si>
  <si>
    <r>
      <rPr>
        <rFont val="&quot;Aptos Narrow&quot;, sans-serif"/>
        <color rgb="FF1155CC"/>
        <sz val="11.0"/>
        <u/>
      </rPr>
      <t>2x4x12</t>
    </r>
  </si>
  <si>
    <t>2x8x10 Southern Yellow Pine</t>
  </si>
  <si>
    <r>
      <rPr>
        <rFont val="&quot;Aptos Narrow&quot;, sans-serif"/>
        <color rgb="FF1155CC"/>
        <sz val="11.0"/>
        <u/>
      </rPr>
      <t>2x8x10</t>
    </r>
  </si>
  <si>
    <t>Amazon</t>
  </si>
  <si>
    <t>8" x 2" Steel Cast Iron Wheel</t>
  </si>
  <si>
    <r>
      <rPr>
        <rFont val="&quot;Aptos Narrow&quot;, sans-serif"/>
        <color rgb="FF1155CC"/>
        <sz val="11.0"/>
        <u/>
      </rPr>
      <t>8" x 2" Metal Wheel</t>
    </r>
  </si>
  <si>
    <t>#14 x 6" Screws</t>
  </si>
  <si>
    <r>
      <rPr>
        <rFont val="&quot;Aptos Narrow&quot;, sans-serif"/>
        <color rgb="FF1155CC"/>
        <sz val="11.0"/>
        <u/>
      </rPr>
      <t>#14 x 6" Screws</t>
    </r>
  </si>
  <si>
    <t>(50 pcs)</t>
  </si>
  <si>
    <t>3/8-16 x 8" Bolt</t>
  </si>
  <si>
    <r>
      <rPr>
        <rFont val="&quot;Aptos Narrow&quot;, sans-serif"/>
        <color rgb="FF1155CC"/>
        <sz val="11.0"/>
        <u/>
      </rPr>
      <t>3/8-16 x 8" Bolt</t>
    </r>
  </si>
  <si>
    <t>(20 bolts)</t>
  </si>
  <si>
    <t>1/2-13 x 4" Bolt</t>
  </si>
  <si>
    <r>
      <rPr>
        <rFont val="&quot;Aptos Narrow&quot;, sans-serif"/>
        <color rgb="FF1155CC"/>
        <sz val="11.0"/>
        <u/>
      </rPr>
      <t>1/2-13 x 4" Bolt</t>
    </r>
  </si>
  <si>
    <t>(5 bolts)</t>
  </si>
  <si>
    <t>1/2" x 1-3/8" Washer</t>
  </si>
  <si>
    <r>
      <rPr>
        <rFont val="&quot;Aptos Narrow&quot;, sans-serif"/>
        <color rgb="FF1155CC"/>
        <sz val="11.0"/>
        <u/>
      </rPr>
      <t>1/2" x 1-3/8" Washer</t>
    </r>
  </si>
  <si>
    <t>(50 washers)</t>
  </si>
  <si>
    <t>3/8"-16 Nuts</t>
  </si>
  <si>
    <r>
      <rPr>
        <rFont val="&quot;Aptos Narrow&quot;, sans-serif"/>
        <color rgb="FF1155CC"/>
        <sz val="11.0"/>
        <u/>
      </rPr>
      <t>3/8"-16 Nuts</t>
    </r>
  </si>
  <si>
    <t>(25 nuts)</t>
  </si>
  <si>
    <t>1/2"-13 Nuts</t>
  </si>
  <si>
    <r>
      <rPr>
        <rFont val="&quot;Aptos Narrow&quot;, sans-serif"/>
        <color rgb="FF1155CC"/>
        <sz val="11.0"/>
        <u/>
      </rPr>
      <t>1/2"-13 Nuts</t>
    </r>
  </si>
  <si>
    <t>(20 nuts)</t>
  </si>
  <si>
    <t>80-120-220 Grain Sandpaper</t>
  </si>
  <si>
    <r>
      <rPr>
        <rFont val="&quot;Aptos Narrow&quot;, sans-serif"/>
        <color rgb="FF1155CC"/>
        <sz val="11.0"/>
        <u/>
      </rPr>
      <t>Sandpaper</t>
    </r>
  </si>
  <si>
    <t>(15 pcs)</t>
  </si>
  <si>
    <t>Paste Finishing Wax, 16 oz</t>
  </si>
  <si>
    <r>
      <rPr>
        <rFont val="&quot;Aptos Narrow&quot;, sans-serif"/>
        <color rgb="FF1155CC"/>
        <sz val="11.0"/>
        <u/>
      </rPr>
      <t>Wax Lubricant</t>
    </r>
  </si>
  <si>
    <t>1/2" Diameter 8" Length Axle</t>
  </si>
  <si>
    <r>
      <rPr>
        <rFont val="&quot;Aptos Narrow&quot;, sans-serif"/>
        <color rgb="FF1155CC"/>
        <sz val="11.0"/>
        <u/>
      </rPr>
      <t>1/2" Diameter 8" Axle</t>
    </r>
  </si>
  <si>
    <t>Grand Total</t>
  </si>
  <si>
    <t>Balance Remaining</t>
  </si>
  <si>
    <t>Screw hooks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</si>
</sst>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sz val="18.0"/>
      <color rgb="FF000000"/>
      <name val="Arial"/>
    </font>
    <font>
      <sz val="11.0"/>
      <color rgb="FF000000"/>
      <name val="Arial"/>
    </font>
    <font>
      <color rgb="FF000000"/>
      <name val="Arial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color theme="1"/>
      <name val="Arial"/>
      <scheme val="minor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b/>
      <sz val="16.0"/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2CEEF"/>
        <bgColor rgb="FFF2CEE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4" fillId="0" fontId="2" numFmtId="2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8" fillId="0" fontId="2" numFmtId="2" xfId="0" applyAlignment="1" applyBorder="1" applyFont="1" applyNumberFormat="1">
      <alignment horizontal="right"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0" fillId="0" fontId="2" numFmtId="2" xfId="0" applyAlignment="1" applyBorder="1" applyFont="1" applyNumberFormat="1">
      <alignment horizontal="right" readingOrder="0" shrinkToFit="0" vertical="bottom" wrapText="0"/>
    </xf>
    <xf borderId="10" fillId="0" fontId="9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Annietfr-Sandpapers-Furniture-Finishing-Automotive/dp/B07VK88CWZ?crid=23AZYT4NHYS61&amp;dib=eyJ2IjoiMSJ9.6lEYpVBX3SQDI0AGjMEv0MqjqLj6V5H9eNxiHfxPmhNoT1sKuRlDYCggkKWYTqv-vXt3xNFHFYZzRG_Zly13XJIYusaqfy0tb5aZRchJpdAreq8s7e3h3buD7Q_nNt4dAW_lYBIv2NftNzLP2R84q8pUgyzN1d-JBuAqNzJddMWP_uQQslQmj3KrMlJvPDDOH6LGaNbZ0diZLv0WZ8R1AY8kFh5sqrCquCrYqTn_uJRKKBdo37-Cmw0HJVSsDvpf0w5Kx6ZljY66v22IZNzBk7C3HUP72VmfDF5z3BKWs70.MDoGZaWOPch5M7ublr4IOVd5EOtntimWSEfw-MflYF0&amp;dib_tag=se&amp;keywords=sandpaper+180-220+grit&amp;qid=1758905490&amp;sprefix=sandpaper+180%2Caps%2C128&amp;sr=8-11" TargetMode="External"/><Relationship Id="rId10" Type="http://schemas.openxmlformats.org/officeDocument/2006/relationships/hyperlink" Target="https://www.amazon.com/Vifmy-13-Locknuts-Stainless-Standard/dp/B0CPHYNG64/138-7082070-6578102?pd_rd_w=3IBVm&amp;content-id=amzn1.sym.de9a1315-b9df-4c24-863c-7afcb2e4cc0a&amp;pf_rd_p=de9a1315-b9df-4c24-863c-7afcb2e4cc0a&amp;pf_rd_r=QE0ZBZ56RBNZJDN3F0J0&amp;pd_rd_wg=OGVG2&amp;pd_rd_r=73e336a4-a852-4ffe-b8df-e4f05d72d432&amp;pd_rd_i=B0CPHYNG64&amp;th=1" TargetMode="External"/><Relationship Id="rId13" Type="http://schemas.openxmlformats.org/officeDocument/2006/relationships/hyperlink" Target="https://www.amazon.com/Etauwe-Diameter-Length-Stainless-Working/dp/B0DXPJRTPY?crid=2D48ALUU8HBE9&amp;dib=eyJ2IjoiMSJ9.Ej0C5xjNnVZpi6EmivIkt5Oy_u7pmvY2TjnTqDOOshhNPvciFN66CLnXpOSvTHWI2iwWsbz3yIbfDqxNmXIdoERGDA9m8HZVRyQ_Gp9BJsbSXwfdm4_ggJX7vP9jFm6He5hvGsqiwLoBVWn9Er39y4D-u6pD8lhJuxLdkK2s4kIQtph1WXEPz5NVY855zzSouvFZNRW3RXhk8EN813z1u9WLYuapB2K9bMHslQglkgA.CvRIKkYSwZH0TGg_77gWvF8C_c6W9F-aC0oSlYwR7xg&amp;dib_tag=se&amp;keywords=steel%2B1%2F2%2Bin%2Baxle&amp;qid=1758909389&amp;sprefix=steel1%2F2%2Bin%2Baxle%2Caps%2C165&amp;sr=8-10&amp;th=1" TargetMode="External"/><Relationship Id="rId12" Type="http://schemas.openxmlformats.org/officeDocument/2006/relationships/hyperlink" Target="https://www.amazon.com/Minwax-785004444-Finishing-1-Pound-Natural/dp/B000LNOZAW?crid=UWDISPNGJZMP&amp;dib=eyJ2IjoiMSJ9.8EMfXIalodExHed_q84kijKmgwSrtYjSXgkBu-KYh2g3krB9l-eZReVtssRwzmKXFmSUbMP9X77rvA62bRBRR5lhuXuO9TMCAuG1Jm959mHsAoiNVlvNZW4CgUgkIztU_4wJ-83oNngPCZ2JAFdpH8aGwLshC-qO5rzct7KguyHd8clNMhcxn9cwULJooa3IOMqm8_XfO_xN-mxadgPThkM-GNArV_8a8rmLBmAyThg40D-OVsqcBFhOMdLE1B8vbtQWryEAEY1hZvzO_-TtI3czWsO4vwgrt2sUuyxoN9Y.G6vcm21sZjMGLQSgDUMi_9z5cEfyCg9bd5n69hnaR0c&amp;dib_tag=se&amp;keywords=Minwax%2BPaste%2BFinishing%2BWax&amp;qid=1758907082&amp;sprefix=minwax%2Bpaste%2Bfinishing%2Bwax%2Caps%2C507&amp;sr=8-1&amp;th=1" TargetMode="External"/><Relationship Id="rId1" Type="http://schemas.openxmlformats.org/officeDocument/2006/relationships/hyperlink" Target="https://www.lowes.com/pd/Interfor-2-in-x-4-in-x-8-ft-Euro-Spruce-Kiln-dried-Lumber/5001997955" TargetMode="External"/><Relationship Id="rId2" Type="http://schemas.openxmlformats.org/officeDocument/2006/relationships/hyperlink" Target="https://www.lowes.com/pd/Severe-Weather-Common-2-in-x-4-in-x-12-ft-Actual-1-5-in-x-3-5-in-x-12-ft-2-Prime/4564612" TargetMode="External"/><Relationship Id="rId3" Type="http://schemas.openxmlformats.org/officeDocument/2006/relationships/hyperlink" Target="https://www.lowes.com/pd/Severe-Weather-Common-2-in-x-8-in-x-10-ft-Actual-1-5-in-x-7-25-in-x-10-ft-2-Prime-Treated-Lumber/4564748" TargetMode="External"/><Relationship Id="rId4" Type="http://schemas.openxmlformats.org/officeDocument/2006/relationships/hyperlink" Target="https://www.amazon.com/LONGRUNFORU-Industrial-Casters-Steel-Wheel/dp/B0CB2LNV5R/ref=sr_1_5?crid=2RFY58XI71ACM&amp;dib=eyJ2IjoiMSJ9.LBDpierdwKgLA3fVj_nC8LFfI8j8kly0-ce52UO5_UuQB-kn46TQJ4CdcXz-2zhDMM6HA0uweXlbUpow77ECouhwXB7C4SyVPGjiSlqu-YZ_TsEjUyFTYlaPHJK0QYsEeEYboZyJAMmjhO4yHdcSulIsbSirWMXgOmoJa-WFx9-HNp-cPYFiylgXy2e3kox9.Y7flShifhMvnMwLRQjMJTE_x9N_yMy5BsNKZHp9RsT4&amp;dib_tag=se&amp;keywords=long%2Brun%2Bfor%2Byou%2Bsteel%2Bcast%2Biron%2Bwheel&amp;qid=1758832751&amp;sprefix=long%2Brun%2Bfor%2Byou%2Bsteel%2Bcast%2Biron%2Bwheel%2Caps%2C87&amp;sr=8-5&amp;th=1" TargetMode="External"/><Relationship Id="rId9" Type="http://schemas.openxmlformats.org/officeDocument/2006/relationships/hyperlink" Target="https://www.amazon.com/Galvanized-Coarse-Industrial-Commeical-B18-2-2/dp/B0CV661HTH/138-7082070-6578102?pd_rd_w=gp0AE&amp;content-id=amzn1.sym.de9a1315-b9df-4c24-863c-7afcb2e4cc0a&amp;pf_rd_p=de9a1315-b9df-4c24-863c-7afcb2e4cc0a&amp;pf_rd_r=29MX4TXPND67AD8CSS07&amp;pd_rd_wg=mK8iE&amp;pd_rd_r=a86385c0-4386-4af0-9bb9-5cbd404432ce&amp;pd_rd_i=B0CV661HTH&amp;th=1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amazon.com/RELBRO-Outdoor-Ceiling-Utensils-feeders/dp/B0B4WLWR9Q?crid=1JSZAPI8XXWMP&amp;dib=eyJ2IjoiMSJ9.gY8zKs__9azVZn-oGUxDHRRk3Nyxlvqea-wOzFp5t9fOlgZzJprEwEDyqBd9dDz-kN43KZ8HDe7JJYqLt7pXaSNS_qEyW_rQnxzKqJcPd4drAUE1HuBh8fo_ZC6TMwo34VreN5lTHp_wcdkQZvIKTDZCHvuH45xz-VEBgHpYt0pYt6ocd4ZiwDimygTT1t38c3ppVSpaDGvTWeQHWJLTNcn2r_8awGSRuUKvEFeBysw.ajDIbTz8qsdWqmsTch_GDB2A0cUN91v2WPqs-r7wMq0&amp;dib_tag=se&amp;keywords=screw%2Bhooks&amp;qid=1758916934&amp;sprefix=screw%2Bhook%2Caps%2C173&amp;sr=8-21&amp;th=1" TargetMode="External"/><Relationship Id="rId5" Type="http://schemas.openxmlformats.org/officeDocument/2006/relationships/hyperlink" Target="https://www.amazon.com/LIONMAX-Resistant-Exterior-Outdoor-Included/dp/B0DHK23R4Q?crid=1V4H2XFTSZ3XO&amp;dib=eyJ2IjoiMSJ9.Ne7t08W9oF3aN2TZRYBoJiTU1wsofwbUCRaSxNyBCHRKvETXNkxsCzYIJ3mIHjI12is2GuAmOwLm5p889GSAY_whi9_BoQWEOyyd1UxUMRDHUxoFiwXxuH-xk5FyNkTg-3tVWf0fKJ0A8V3-4d8VBZ3cPj8Lg0i3DkrPnMEtuv6TsmQCwAmEt4-EO5cJp8zTcG_1JyBlmavfvUebFTSwLUljZvfNtHm4H0fSutBwLOs.aZ6gIptEPYKZnnol8vYTfzFr_v-Dm928zJfPiuoOYkA&amp;dib_tag=se&amp;keywords=Timber-Hex%2B5%2F16-in%2Bx%2B6-in%2BDouble-barrier%2BExterior%2BWood%2Bscrews&amp;qid=1758901482&amp;sprefix=timber-hex%2B5%2F16-in%2Bx%2B6-in%2Bdouble-barrier%2Bexterior%2Bwood%2Bscrews%2Caps%2C933&amp;sr=8-9&amp;th=1" TargetMode="External"/><Relationship Id="rId6" Type="http://schemas.openxmlformats.org/officeDocument/2006/relationships/hyperlink" Target="https://www.amazon.com/Prime-Line-9060208-Bolts-Galvanized-10-Pack/dp/B074ZXK4TD?content-id=amzn1.sym.918a99dd-4826-4c0a-be33-a6705d69c4cf%3Aamzn1.sym.918a99dd-4826-4c0a-be33-a6705d69c4cf&amp;crid=EXRUHNJB5T51&amp;dib=eyJ2IjoiMSJ9.QdX99ey27qO82uBE7A84Qei35hDEWftGjXozcI0DYhf9FCRK0LU2qhmbX43KYrgsoI2OFwL9e-SKk4uIk8hC6a5yaq-t3WMC54pJdf2PfdhjGnwY_SY4IcA0Qsa7bmLWUX-q8D_s00Bs4ZXOnhAdytcj28C3tIkM8eTOaF5Ng3vz9hFi9Sg_FST-hA_kWKai0c-YpJAU-zLaVXhGKx3_KVOSM_zPxt7H5ZfKuBiDpWzaW2H_J-4n-YujCyw-vcm3MtEwOTu_SMyW4fMPB2q6pQ-OIpoUdCaPJ8PIwZXa0VI.S4tfjZwiuCH1zKgzI0Ts0bTVeIV8vgwIWM1o3V3qndQ&amp;dib_tag=se&amp;keywords=Bolts&amp;pd_rd_r=5bed3a8d-248e-4c3e-9454-bd6b33bbde68&amp;pd_rd_w=w6Dsz&amp;pd_rd_wg=MBUeh&amp;pid=1vLr40g&amp;qid=1758903384&amp;refinements=p_n_feature_twenty-eight_browse-bin%3A19043787011%2Cp_n_feature_two_browse-bin%3A2292868011&amp;s=industrial&amp;sprefix=1%2F2%2Bx%2Bin%2Bbolt%2Caps%2C195&amp;sr=1-8&amp;th=1" TargetMode="External"/><Relationship Id="rId7" Type="http://schemas.openxmlformats.org/officeDocument/2006/relationships/hyperlink" Target="https://www.amazon.com/Hard-Find-Fastener-014973248284-Piece-5/dp/B008RN5J26?dib=eyJ2IjoiMSJ9.pGC2UlMPez0P9xTg4mU00OnuDcXcdjPNjcRBTEBmOym1U_mJAcNJlmLs4wlK9FM81fHwTGIyyiGaksVeHhqrBFN5o0XRCpXVr0KdyB62othIhbJNusNnEUc5ah5b2bfgbaFGfk25ovvRWGpCEK4olclOGzgpyNN55bR1O02MfpxMhfgZYJ-62RSz1OL87LcRhLwEmEBQ5s3MPQICdZPEy0E2xgHjJ9nFTjBL7aH5p-TjlVCUjhlg2tl51wGmPZ0Pn7pfWzfO4CIejehdGtirH7qgWFwrizqyj-NOTcYq5TA.QxR3HFDi2nT2Q9fMkHwOGUm2cwaxBZKgX4UH7aLG_0s&amp;dib_tag=se&amp;keywords=1%2F2-16%2Bx%2B4in%2Bbolt&amp;qid=1758904270&amp;s=industrial&amp;sr=1-5&amp;th=1" TargetMode="External"/><Relationship Id="rId8" Type="http://schemas.openxmlformats.org/officeDocument/2006/relationships/hyperlink" Target="https://www.amazon.com/Washer-Galvanized-B18-21-1-Industrial-Commercial/dp/B0CH3SRPG3/138-7082070-6578102?pd_rd_w=gp0AE&amp;content-id=amzn1.sym.de9a1315-b9df-4c24-863c-7afcb2e4cc0a&amp;pf_rd_p=de9a1315-b9df-4c24-863c-7afcb2e4cc0a&amp;pf_rd_r=29MX4TXPND67AD8CSS07&amp;pd_rd_wg=mK8iE&amp;pd_rd_r=a86385c0-4386-4af0-9bb9-5cbd404432ce&amp;pd_rd_i=B0CH3SRPG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9.0"/>
    <col customWidth="1" min="3" max="3" width="13.5"/>
    <col customWidth="1" min="4" max="4" width="11.88"/>
    <col customWidth="1" min="6" max="6" width="24.13"/>
  </cols>
  <sheetData>
    <row r="1" ht="9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22.0</v>
      </c>
      <c r="D2" s="4">
        <v>3.75</v>
      </c>
      <c r="E2" s="5">
        <v>88.28</v>
      </c>
      <c r="F2" s="6" t="s">
        <v>8</v>
      </c>
    </row>
    <row r="3">
      <c r="A3" s="7" t="s">
        <v>6</v>
      </c>
      <c r="B3" s="8" t="s">
        <v>9</v>
      </c>
      <c r="C3" s="9">
        <v>10.0</v>
      </c>
      <c r="D3" s="9">
        <v>8.48</v>
      </c>
      <c r="E3" s="5">
        <v>90.74</v>
      </c>
      <c r="F3" s="10" t="s">
        <v>10</v>
      </c>
    </row>
    <row r="4">
      <c r="A4" s="7" t="s">
        <v>6</v>
      </c>
      <c r="B4" s="8" t="s">
        <v>11</v>
      </c>
      <c r="C4" s="9">
        <v>4.0</v>
      </c>
      <c r="D4" s="9">
        <v>14.38</v>
      </c>
      <c r="E4" s="5">
        <v>61.55</v>
      </c>
      <c r="F4" s="10" t="s">
        <v>12</v>
      </c>
    </row>
    <row r="5">
      <c r="A5" s="11" t="s">
        <v>13</v>
      </c>
      <c r="B5" s="8" t="s">
        <v>14</v>
      </c>
      <c r="C5" s="9">
        <v>2.0</v>
      </c>
      <c r="D5" s="9">
        <v>29.99</v>
      </c>
      <c r="E5" s="5">
        <v>64.18</v>
      </c>
      <c r="F5" s="10" t="s">
        <v>15</v>
      </c>
    </row>
    <row r="6">
      <c r="A6" s="7" t="s">
        <v>13</v>
      </c>
      <c r="B6" s="8" t="s">
        <v>16</v>
      </c>
      <c r="C6" s="9">
        <v>1.0</v>
      </c>
      <c r="D6" s="9">
        <v>19.99</v>
      </c>
      <c r="E6" s="5">
        <v>21.39</v>
      </c>
      <c r="F6" s="12" t="s">
        <v>17</v>
      </c>
      <c r="G6" s="13" t="s">
        <v>18</v>
      </c>
    </row>
    <row r="7">
      <c r="A7" s="7" t="s">
        <v>13</v>
      </c>
      <c r="B7" s="8" t="s">
        <v>19</v>
      </c>
      <c r="C7" s="9">
        <v>2.0</v>
      </c>
      <c r="D7" s="9">
        <v>20.96</v>
      </c>
      <c r="E7" s="5">
        <v>44.85</v>
      </c>
      <c r="F7" s="12" t="s">
        <v>20</v>
      </c>
      <c r="G7" s="13" t="s">
        <v>21</v>
      </c>
    </row>
    <row r="8">
      <c r="A8" s="7" t="s">
        <v>13</v>
      </c>
      <c r="B8" s="8" t="s">
        <v>22</v>
      </c>
      <c r="C8" s="9">
        <v>1.0</v>
      </c>
      <c r="D8" s="9">
        <v>11.54</v>
      </c>
      <c r="E8" s="5">
        <v>12.35</v>
      </c>
      <c r="F8" s="12" t="s">
        <v>23</v>
      </c>
      <c r="G8" s="13" t="s">
        <v>24</v>
      </c>
    </row>
    <row r="9">
      <c r="A9" s="7" t="s">
        <v>13</v>
      </c>
      <c r="B9" s="14" t="s">
        <v>25</v>
      </c>
      <c r="C9" s="9">
        <v>2.0</v>
      </c>
      <c r="D9" s="9">
        <v>9.97</v>
      </c>
      <c r="E9" s="5">
        <v>21.34</v>
      </c>
      <c r="F9" s="12" t="s">
        <v>26</v>
      </c>
      <c r="G9" s="13" t="s">
        <v>27</v>
      </c>
    </row>
    <row r="10">
      <c r="A10" s="7" t="s">
        <v>13</v>
      </c>
      <c r="B10" s="8" t="s">
        <v>28</v>
      </c>
      <c r="C10" s="9">
        <v>1.0</v>
      </c>
      <c r="D10" s="9">
        <v>7.57</v>
      </c>
      <c r="E10" s="5">
        <v>8.1</v>
      </c>
      <c r="F10" s="12" t="s">
        <v>29</v>
      </c>
      <c r="G10" s="13" t="s">
        <v>30</v>
      </c>
    </row>
    <row r="11">
      <c r="A11" s="7" t="s">
        <v>13</v>
      </c>
      <c r="B11" s="8" t="s">
        <v>31</v>
      </c>
      <c r="C11" s="9">
        <v>1.0</v>
      </c>
      <c r="D11" s="9">
        <v>9.99</v>
      </c>
      <c r="E11" s="5">
        <v>10.69</v>
      </c>
      <c r="F11" s="12" t="s">
        <v>32</v>
      </c>
      <c r="G11" s="13" t="s">
        <v>33</v>
      </c>
    </row>
    <row r="12">
      <c r="A12" s="7" t="s">
        <v>13</v>
      </c>
      <c r="B12" s="8" t="s">
        <v>34</v>
      </c>
      <c r="C12" s="9">
        <v>1.0</v>
      </c>
      <c r="D12" s="9">
        <v>6.99</v>
      </c>
      <c r="E12" s="5">
        <v>7.48</v>
      </c>
      <c r="F12" s="12" t="s">
        <v>35</v>
      </c>
      <c r="G12" s="13" t="s">
        <v>36</v>
      </c>
    </row>
    <row r="13">
      <c r="A13" s="7" t="s">
        <v>13</v>
      </c>
      <c r="B13" s="8" t="s">
        <v>37</v>
      </c>
      <c r="C13" s="9">
        <v>1.0</v>
      </c>
      <c r="D13" s="9">
        <v>15.96</v>
      </c>
      <c r="E13" s="15">
        <v>17.08</v>
      </c>
      <c r="F13" s="12" t="s">
        <v>38</v>
      </c>
    </row>
    <row r="14">
      <c r="A14" s="16" t="s">
        <v>13</v>
      </c>
      <c r="B14" s="17" t="s">
        <v>39</v>
      </c>
      <c r="C14" s="18">
        <v>1.0</v>
      </c>
      <c r="D14" s="18">
        <v>13.19</v>
      </c>
      <c r="E14" s="19">
        <v>14.11</v>
      </c>
      <c r="F14" s="20" t="s">
        <v>40</v>
      </c>
    </row>
    <row r="15">
      <c r="A15" s="21"/>
      <c r="B15" s="21"/>
      <c r="C15" s="21"/>
      <c r="D15" s="22" t="s">
        <v>41</v>
      </c>
      <c r="E15" s="23">
        <f>SUM(E2:E14)</f>
        <v>462.14</v>
      </c>
      <c r="F15" s="21"/>
    </row>
    <row r="16">
      <c r="A16" s="21"/>
      <c r="B16" s="21"/>
      <c r="C16" s="21"/>
      <c r="D16" s="22" t="s">
        <v>42</v>
      </c>
      <c r="E16" s="24">
        <f>500-E15</f>
        <v>37.86</v>
      </c>
      <c r="F16" s="21"/>
    </row>
    <row r="17">
      <c r="A17" s="21"/>
      <c r="B17" s="21"/>
      <c r="C17" s="21"/>
      <c r="D17" s="21"/>
      <c r="E17" s="25">
        <v>500.0</v>
      </c>
      <c r="F17" s="21"/>
    </row>
    <row r="18">
      <c r="F18" s="26" t="s">
        <v>43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5"/>
</worksheet>
</file>